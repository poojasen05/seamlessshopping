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556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yyyy/mm/dd;@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F4E79"/>
      <sz val="14"/>
    </font>
    <font>
      <name val="Arial"/>
      <b val="1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2" fillId="0" borderId="1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pivotButton="0" quotePrefix="0" xfId="0"/>
    <xf numFmtId="2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2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6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164" fontId="2" fillId="6" borderId="2" applyAlignment="1" pivotButton="0" quotePrefix="0" xfId="0">
      <alignment horizontal="center"/>
    </xf>
    <xf numFmtId="20" fontId="2" fillId="6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20" fontId="2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8" defaultRowHeight="14.4"/>
  <cols>
    <col width="10" customWidth="1" style="9" min="1" max="1"/>
    <col width="12" customWidth="1" style="9" min="2" max="2"/>
    <col width="8" customWidth="1" style="9" min="3" max="3"/>
    <col width="10" customWidth="1" style="9" min="4" max="4"/>
    <col width="14" customWidth="1" style="9" min="5" max="5"/>
    <col width="12" customWidth="1" style="9" min="6" max="6"/>
    <col width="14" customWidth="1" style="9" min="7" max="7"/>
    <col width="8" customWidth="1" style="9" min="8" max="8"/>
    <col width="16" customWidth="1" style="9" min="9" max="9"/>
    <col width="10" customWidth="1" style="9" min="10" max="10"/>
    <col width="16" customWidth="1" style="9" min="11" max="12"/>
  </cols>
  <sheetData>
    <row r="1" ht="30" customHeight="1" s="9">
      <c r="A1" s="1" t="inlineStr">
        <is>
          <t>Session_ID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Weight</t>
        </is>
      </c>
      <c r="I1" s="1" t="inlineStr">
        <is>
          <t>Unit_Price_INR</t>
        </is>
      </c>
      <c r="J1" s="1" t="inlineStr">
        <is>
          <t>Quantity</t>
        </is>
      </c>
      <c r="K1" s="1" t="inlineStr">
        <is>
          <t>Total_Price_INR</t>
        </is>
      </c>
      <c r="L1" s="1" t="inlineStr">
        <is>
          <t>Payment_Method</t>
        </is>
      </c>
    </row>
    <row r="2">
      <c r="A2" s="16" t="inlineStr">
        <is>
          <t>S001</t>
        </is>
      </c>
      <c r="B2" s="16" t="inlineStr">
        <is>
          <t>2025-05-01</t>
        </is>
      </c>
      <c r="C2" s="16" t="inlineStr">
        <is>
          <t>10:15</t>
        </is>
      </c>
      <c r="D2" s="16" t="inlineStr">
        <is>
          <t>P001</t>
        </is>
      </c>
      <c r="E2" s="16" t="inlineStr">
        <is>
          <t>Rice</t>
        </is>
      </c>
      <c r="F2" s="16" t="inlineStr">
        <is>
          <t>Staples</t>
        </is>
      </c>
      <c r="G2" s="16" t="inlineStr">
        <is>
          <t>India Gate</t>
        </is>
      </c>
      <c r="H2" s="16" t="inlineStr">
        <is>
          <t>1kg</t>
        </is>
      </c>
      <c r="I2" s="16" t="n">
        <v>50</v>
      </c>
      <c r="J2" s="16" t="n">
        <v>3</v>
      </c>
      <c r="K2" s="16">
        <f>I2*J2</f>
        <v/>
      </c>
      <c r="L2" s="16" t="inlineStr">
        <is>
          <t>UPI</t>
        </is>
      </c>
    </row>
    <row r="3">
      <c r="A3" s="17" t="inlineStr">
        <is>
          <t>S001</t>
        </is>
      </c>
      <c r="B3" s="17" t="inlineStr">
        <is>
          <t>2025-05-01</t>
        </is>
      </c>
      <c r="C3" s="17" t="inlineStr">
        <is>
          <t>10:15</t>
        </is>
      </c>
      <c r="D3" s="17" t="inlineStr">
        <is>
          <t>P002</t>
        </is>
      </c>
      <c r="E3" s="17" t="inlineStr">
        <is>
          <t>Milk</t>
        </is>
      </c>
      <c r="F3" s="17" t="inlineStr">
        <is>
          <t>Dairy</t>
        </is>
      </c>
      <c r="G3" s="17" t="inlineStr">
        <is>
          <t>Amul</t>
        </is>
      </c>
      <c r="H3" s="17" t="inlineStr">
        <is>
          <t>1L</t>
        </is>
      </c>
      <c r="I3" s="17" t="n">
        <v>60</v>
      </c>
      <c r="J3" s="17" t="n">
        <v>2</v>
      </c>
      <c r="K3" s="17">
        <f>I3*J3</f>
        <v/>
      </c>
      <c r="L3" s="17" t="inlineStr">
        <is>
          <t>UPI</t>
        </is>
      </c>
    </row>
    <row r="4">
      <c r="A4" s="16" t="inlineStr">
        <is>
          <t>S001</t>
        </is>
      </c>
      <c r="B4" s="18" t="inlineStr">
        <is>
          <t>2025-05-01</t>
        </is>
      </c>
      <c r="C4" s="19" t="inlineStr">
        <is>
          <t>10:15</t>
        </is>
      </c>
      <c r="D4" s="16" t="inlineStr">
        <is>
          <t>P004</t>
        </is>
      </c>
      <c r="E4" s="16" t="inlineStr">
        <is>
          <t>Eggs</t>
        </is>
      </c>
      <c r="F4" s="16" t="inlineStr">
        <is>
          <t>Protein</t>
        </is>
      </c>
      <c r="G4" s="16" t="inlineStr">
        <is>
          <t>Farm Fresh</t>
        </is>
      </c>
      <c r="H4" s="16" t="inlineStr">
        <is>
          <t>12pcs</t>
        </is>
      </c>
      <c r="I4" s="16" t="n">
        <v>80</v>
      </c>
      <c r="J4" s="16" t="n">
        <v>1</v>
      </c>
      <c r="K4" s="16">
        <f>I4*J4</f>
        <v/>
      </c>
      <c r="L4" s="16" t="inlineStr">
        <is>
          <t>UPI</t>
        </is>
      </c>
    </row>
    <row r="5">
      <c r="A5" s="17" t="inlineStr">
        <is>
          <t>S001</t>
        </is>
      </c>
      <c r="B5" s="20" t="inlineStr">
        <is>
          <t>2025-05-01</t>
        </is>
      </c>
      <c r="C5" s="17" t="inlineStr">
        <is>
          <t>10:15</t>
        </is>
      </c>
      <c r="D5" s="17" t="inlineStr">
        <is>
          <t>P003</t>
        </is>
      </c>
      <c r="E5" s="17" t="inlineStr">
        <is>
          <t>Bread</t>
        </is>
      </c>
      <c r="F5" s="17" t="inlineStr">
        <is>
          <t>Bakery</t>
        </is>
      </c>
      <c r="G5" s="17" t="inlineStr">
        <is>
          <t>Britannia</t>
        </is>
      </c>
      <c r="H5" s="17" t="inlineStr">
        <is>
          <t>400g</t>
        </is>
      </c>
      <c r="I5" s="17" t="n">
        <v>40</v>
      </c>
      <c r="J5" s="17" t="n">
        <v>2</v>
      </c>
      <c r="K5" s="17">
        <f>I5*J5</f>
        <v/>
      </c>
      <c r="L5" s="17" t="inlineStr">
        <is>
          <t>UPI</t>
        </is>
      </c>
    </row>
    <row r="6">
      <c r="A6" s="16" t="inlineStr">
        <is>
          <t>S002</t>
        </is>
      </c>
      <c r="B6" s="16" t="inlineStr">
        <is>
          <t>2025-05-02</t>
        </is>
      </c>
      <c r="C6" s="16" t="inlineStr">
        <is>
          <t>11:30</t>
        </is>
      </c>
      <c r="D6" s="16" t="inlineStr">
        <is>
          <t>P001</t>
        </is>
      </c>
      <c r="E6" s="16" t="inlineStr">
        <is>
          <t>Rice</t>
        </is>
      </c>
      <c r="F6" s="16" t="inlineStr">
        <is>
          <t>Staples</t>
        </is>
      </c>
      <c r="G6" s="16" t="inlineStr">
        <is>
          <t>India Gate</t>
        </is>
      </c>
      <c r="H6" s="16" t="inlineStr">
        <is>
          <t>1kg</t>
        </is>
      </c>
      <c r="I6" s="16" t="n">
        <v>50</v>
      </c>
      <c r="J6" s="16" t="n">
        <v>2</v>
      </c>
      <c r="K6" s="16">
        <f>I6*J6</f>
        <v/>
      </c>
      <c r="L6" s="16" t="inlineStr">
        <is>
          <t>Card</t>
        </is>
      </c>
    </row>
    <row r="7">
      <c r="A7" s="17" t="inlineStr">
        <is>
          <t>S002</t>
        </is>
      </c>
      <c r="B7" s="17" t="inlineStr">
        <is>
          <t>2025-05-02</t>
        </is>
      </c>
      <c r="C7" s="17" t="inlineStr">
        <is>
          <t>11:30</t>
        </is>
      </c>
      <c r="D7" s="17" t="inlineStr">
        <is>
          <t>P004</t>
        </is>
      </c>
      <c r="E7" s="17" t="inlineStr">
        <is>
          <t>Eggs</t>
        </is>
      </c>
      <c r="F7" s="17" t="inlineStr">
        <is>
          <t>Protein</t>
        </is>
      </c>
      <c r="G7" s="17" t="inlineStr">
        <is>
          <t>Farm Fresh</t>
        </is>
      </c>
      <c r="H7" s="17" t="inlineStr">
        <is>
          <t>12pcs</t>
        </is>
      </c>
      <c r="I7" s="17" t="n">
        <v>80</v>
      </c>
      <c r="J7" s="17" t="n">
        <v>2</v>
      </c>
      <c r="K7" s="17">
        <f>I7*J7</f>
        <v/>
      </c>
      <c r="L7" s="17" t="inlineStr">
        <is>
          <t>Card</t>
        </is>
      </c>
    </row>
    <row r="8">
      <c r="A8" s="16" t="inlineStr">
        <is>
          <t>S002</t>
        </is>
      </c>
      <c r="B8" s="16" t="inlineStr">
        <is>
          <t>2025-05-02</t>
        </is>
      </c>
      <c r="C8" s="16" t="inlineStr">
        <is>
          <t>11:30</t>
        </is>
      </c>
      <c r="D8" s="16" t="inlineStr">
        <is>
          <t>P005</t>
        </is>
      </c>
      <c r="E8" s="16" t="inlineStr">
        <is>
          <t>Oil</t>
        </is>
      </c>
      <c r="F8" s="16" t="inlineStr">
        <is>
          <t>Cooking</t>
        </is>
      </c>
      <c r="G8" s="16" t="inlineStr">
        <is>
          <t>Fortune</t>
        </is>
      </c>
      <c r="H8" s="16" t="inlineStr">
        <is>
          <t>1L</t>
        </is>
      </c>
      <c r="I8" s="16" t="n">
        <v>120</v>
      </c>
      <c r="J8" s="16" t="n">
        <v>2</v>
      </c>
      <c r="K8" s="16">
        <f>I8*J8</f>
        <v/>
      </c>
      <c r="L8" s="16" t="inlineStr">
        <is>
          <t>Card</t>
        </is>
      </c>
    </row>
    <row r="9">
      <c r="A9" s="17" t="inlineStr">
        <is>
          <t>S003</t>
        </is>
      </c>
      <c r="B9" s="20" t="inlineStr">
        <is>
          <t>2025-05-03</t>
        </is>
      </c>
      <c r="C9" s="17" t="inlineStr">
        <is>
          <t>09:45</t>
        </is>
      </c>
      <c r="D9" s="17" t="inlineStr">
        <is>
          <t>P002</t>
        </is>
      </c>
      <c r="E9" s="17" t="inlineStr">
        <is>
          <t>Milk</t>
        </is>
      </c>
      <c r="F9" s="17" t="inlineStr">
        <is>
          <t>Dairy</t>
        </is>
      </c>
      <c r="G9" s="17" t="inlineStr">
        <is>
          <t>Amul</t>
        </is>
      </c>
      <c r="H9" s="17" t="inlineStr">
        <is>
          <t>1L</t>
        </is>
      </c>
      <c r="I9" s="17" t="n">
        <v>60</v>
      </c>
      <c r="J9" s="17" t="n">
        <v>2</v>
      </c>
      <c r="K9" s="17">
        <f>I9*J9</f>
        <v/>
      </c>
      <c r="L9" s="17" t="inlineStr">
        <is>
          <t>Cash</t>
        </is>
      </c>
    </row>
    <row r="10">
      <c r="A10" s="16" t="inlineStr">
        <is>
          <t>S003</t>
        </is>
      </c>
      <c r="B10" s="18" t="inlineStr">
        <is>
          <t>2025-05-03</t>
        </is>
      </c>
      <c r="C10" s="19" t="inlineStr">
        <is>
          <t>09:45</t>
        </is>
      </c>
      <c r="D10" s="16" t="inlineStr">
        <is>
          <t>P001</t>
        </is>
      </c>
      <c r="E10" s="16" t="inlineStr">
        <is>
          <t>Rice</t>
        </is>
      </c>
      <c r="F10" s="16" t="inlineStr">
        <is>
          <t>Staples</t>
        </is>
      </c>
      <c r="G10" s="16" t="inlineStr">
        <is>
          <t>India Gate</t>
        </is>
      </c>
      <c r="H10" s="16" t="inlineStr">
        <is>
          <t>1kg</t>
        </is>
      </c>
      <c r="I10" s="16" t="n">
        <v>50</v>
      </c>
      <c r="J10" s="16" t="n">
        <v>1</v>
      </c>
      <c r="K10" s="16">
        <f>I10*J10</f>
        <v/>
      </c>
      <c r="L10" s="16" t="inlineStr">
        <is>
          <t>Cash</t>
        </is>
      </c>
    </row>
    <row r="11">
      <c r="A11" s="17" t="inlineStr">
        <is>
          <t>S003</t>
        </is>
      </c>
      <c r="B11" s="17" t="inlineStr">
        <is>
          <t>2025-05-03</t>
        </is>
      </c>
      <c r="C11" s="17" t="inlineStr">
        <is>
          <t>09:45</t>
        </is>
      </c>
      <c r="D11" s="17" t="inlineStr">
        <is>
          <t>P003</t>
        </is>
      </c>
      <c r="E11" s="17" t="inlineStr">
        <is>
          <t>Bread</t>
        </is>
      </c>
      <c r="F11" s="17" t="inlineStr">
        <is>
          <t>Bakery</t>
        </is>
      </c>
      <c r="G11" s="17" t="inlineStr">
        <is>
          <t>Britannia</t>
        </is>
      </c>
      <c r="H11" s="17" t="inlineStr">
        <is>
          <t>400g</t>
        </is>
      </c>
      <c r="I11" s="17" t="n">
        <v>40</v>
      </c>
      <c r="J11" s="17" t="n">
        <v>2</v>
      </c>
      <c r="K11" s="17">
        <f>I11*J11</f>
        <v/>
      </c>
      <c r="L11" s="17" t="inlineStr">
        <is>
          <t>Cash</t>
        </is>
      </c>
    </row>
    <row r="12">
      <c r="A12" s="16" t="inlineStr">
        <is>
          <t>S003</t>
        </is>
      </c>
      <c r="B12" s="16" t="inlineStr">
        <is>
          <t>2025-05-03</t>
        </is>
      </c>
      <c r="C12" s="16" t="inlineStr">
        <is>
          <t>09:45</t>
        </is>
      </c>
      <c r="D12" s="16" t="inlineStr">
        <is>
          <t>P005</t>
        </is>
      </c>
      <c r="E12" s="16" t="inlineStr">
        <is>
          <t>Oil</t>
        </is>
      </c>
      <c r="F12" s="16" t="inlineStr">
        <is>
          <t>Cooking</t>
        </is>
      </c>
      <c r="G12" s="16" t="inlineStr">
        <is>
          <t>Fortune</t>
        </is>
      </c>
      <c r="H12" s="16" t="inlineStr">
        <is>
          <t>1L</t>
        </is>
      </c>
      <c r="I12" s="16" t="n">
        <v>120</v>
      </c>
      <c r="J12" s="16" t="n">
        <v>1</v>
      </c>
      <c r="K12" s="16">
        <f>I12*J12</f>
        <v/>
      </c>
      <c r="L12" s="16" t="inlineStr">
        <is>
          <t>Cash</t>
        </is>
      </c>
    </row>
    <row r="13">
      <c r="A13" s="17" t="inlineStr">
        <is>
          <t>S004</t>
        </is>
      </c>
      <c r="B13" s="20" t="inlineStr">
        <is>
          <t>2025-05-05</t>
        </is>
      </c>
      <c r="C13" s="21" t="inlineStr">
        <is>
          <t>14:00</t>
        </is>
      </c>
      <c r="D13" s="17" t="inlineStr">
        <is>
          <t>P003</t>
        </is>
      </c>
      <c r="E13" s="17" t="inlineStr">
        <is>
          <t>Bread</t>
        </is>
      </c>
      <c r="F13" s="17" t="inlineStr">
        <is>
          <t>Bakery</t>
        </is>
      </c>
      <c r="G13" s="17" t="inlineStr">
        <is>
          <t>Britannia</t>
        </is>
      </c>
      <c r="H13" s="17" t="inlineStr">
        <is>
          <t>400g</t>
        </is>
      </c>
      <c r="I13" s="17" t="n">
        <v>40</v>
      </c>
      <c r="J13" s="17" t="n">
        <v>2</v>
      </c>
      <c r="K13" s="17">
        <f>I13*J13</f>
        <v/>
      </c>
      <c r="L13" s="17" t="inlineStr">
        <is>
          <t>UPI</t>
        </is>
      </c>
    </row>
    <row r="14">
      <c r="A14" s="16" t="inlineStr">
        <is>
          <t>S004</t>
        </is>
      </c>
      <c r="B14" s="16" t="inlineStr">
        <is>
          <t>2025-05-05</t>
        </is>
      </c>
      <c r="C14" s="16" t="inlineStr">
        <is>
          <t>14:00</t>
        </is>
      </c>
      <c r="D14" s="16" t="inlineStr">
        <is>
          <t>P004</t>
        </is>
      </c>
      <c r="E14" s="16" t="inlineStr">
        <is>
          <t>Eggs</t>
        </is>
      </c>
      <c r="F14" s="16" t="inlineStr">
        <is>
          <t>Protein</t>
        </is>
      </c>
      <c r="G14" s="16" t="inlineStr">
        <is>
          <t>Farm Fresh</t>
        </is>
      </c>
      <c r="H14" s="16" t="inlineStr">
        <is>
          <t>12pcs</t>
        </is>
      </c>
      <c r="I14" s="16" t="n">
        <v>80</v>
      </c>
      <c r="J14" s="16" t="n">
        <v>1</v>
      </c>
      <c r="K14" s="16">
        <f>I14*J14</f>
        <v/>
      </c>
      <c r="L14" s="16" t="inlineStr">
        <is>
          <t>UPI</t>
        </is>
      </c>
    </row>
    <row r="15">
      <c r="A15" s="17" t="inlineStr">
        <is>
          <t>S005</t>
        </is>
      </c>
      <c r="B15" s="17" t="inlineStr">
        <is>
          <t>2025-05-06</t>
        </is>
      </c>
      <c r="C15" s="17" t="inlineStr">
        <is>
          <t>16:20</t>
        </is>
      </c>
      <c r="D15" s="17" t="inlineStr">
        <is>
          <t>P002</t>
        </is>
      </c>
      <c r="E15" s="17" t="inlineStr">
        <is>
          <t>Milk</t>
        </is>
      </c>
      <c r="F15" s="17" t="inlineStr">
        <is>
          <t>Dairy</t>
        </is>
      </c>
      <c r="G15" s="17" t="inlineStr">
        <is>
          <t>Amul</t>
        </is>
      </c>
      <c r="H15" s="17" t="inlineStr">
        <is>
          <t>1L</t>
        </is>
      </c>
      <c r="I15" s="17" t="n">
        <v>60</v>
      </c>
      <c r="J15" s="17" t="n">
        <v>2</v>
      </c>
      <c r="K15" s="17">
        <f>I15*J15</f>
        <v/>
      </c>
      <c r="L15" s="17" t="inlineStr">
        <is>
          <t>UPI</t>
        </is>
      </c>
    </row>
    <row r="16">
      <c r="A16" s="16" t="inlineStr">
        <is>
          <t>S005</t>
        </is>
      </c>
      <c r="B16" s="16" t="inlineStr">
        <is>
          <t>2025-05-06</t>
        </is>
      </c>
      <c r="C16" s="16" t="inlineStr">
        <is>
          <t>16:20</t>
        </is>
      </c>
      <c r="D16" s="16" t="inlineStr">
        <is>
          <t>P003</t>
        </is>
      </c>
      <c r="E16" s="16" t="inlineStr">
        <is>
          <t>Bread</t>
        </is>
      </c>
      <c r="F16" s="16" t="inlineStr">
        <is>
          <t>Bakery</t>
        </is>
      </c>
      <c r="G16" s="16" t="inlineStr">
        <is>
          <t>Britannia</t>
        </is>
      </c>
      <c r="H16" s="16" t="inlineStr">
        <is>
          <t>400g</t>
        </is>
      </c>
      <c r="I16" s="16" t="n">
        <v>40</v>
      </c>
      <c r="J16" s="16" t="n">
        <v>1</v>
      </c>
      <c r="K16" s="16">
        <f>I16*J16</f>
        <v/>
      </c>
      <c r="L16" s="16" t="inlineStr">
        <is>
          <t>UPI</t>
        </is>
      </c>
    </row>
    <row r="17">
      <c r="A17" s="17" t="inlineStr">
        <is>
          <t>S005</t>
        </is>
      </c>
      <c r="B17" s="17" t="inlineStr">
        <is>
          <t>2025-05-06</t>
        </is>
      </c>
      <c r="C17" s="17" t="inlineStr">
        <is>
          <t>16:20</t>
        </is>
      </c>
      <c r="D17" s="17" t="inlineStr">
        <is>
          <t>P001</t>
        </is>
      </c>
      <c r="E17" s="17" t="inlineStr">
        <is>
          <t>Rice</t>
        </is>
      </c>
      <c r="F17" s="17" t="inlineStr">
        <is>
          <t>Staples</t>
        </is>
      </c>
      <c r="G17" s="17" t="inlineStr">
        <is>
          <t>India Gate</t>
        </is>
      </c>
      <c r="H17" s="17" t="inlineStr">
        <is>
          <t>1kg</t>
        </is>
      </c>
      <c r="I17" s="17" t="n">
        <v>50</v>
      </c>
      <c r="J17" s="17" t="n">
        <v>3</v>
      </c>
      <c r="K17" s="17">
        <f>I17*J17</f>
        <v/>
      </c>
      <c r="L17" s="17" t="inlineStr">
        <is>
          <t>UPI</t>
        </is>
      </c>
    </row>
    <row r="18">
      <c r="A18" s="16" t="inlineStr">
        <is>
          <t>S005</t>
        </is>
      </c>
      <c r="B18" s="16" t="inlineStr">
        <is>
          <t>2025-05-06</t>
        </is>
      </c>
      <c r="C18" s="16" t="inlineStr">
        <is>
          <t>16:20</t>
        </is>
      </c>
      <c r="D18" s="16" t="inlineStr">
        <is>
          <t>P005</t>
        </is>
      </c>
      <c r="E18" s="16" t="inlineStr">
        <is>
          <t>Oil</t>
        </is>
      </c>
      <c r="F18" s="16" t="inlineStr">
        <is>
          <t>Cooking</t>
        </is>
      </c>
      <c r="G18" s="16" t="inlineStr">
        <is>
          <t>Fortune</t>
        </is>
      </c>
      <c r="H18" s="16" t="inlineStr">
        <is>
          <t>1L</t>
        </is>
      </c>
      <c r="I18" s="16" t="n">
        <v>120</v>
      </c>
      <c r="J18" s="16" t="n">
        <v>2</v>
      </c>
      <c r="K18" s="16">
        <f>I18*J18</f>
        <v/>
      </c>
      <c r="L18" s="16" t="inlineStr">
        <is>
          <t>UPI</t>
        </is>
      </c>
    </row>
    <row r="19">
      <c r="A19" s="17" t="inlineStr">
        <is>
          <t>S006</t>
        </is>
      </c>
      <c r="B19" s="17" t="inlineStr">
        <is>
          <t>2025-05-08</t>
        </is>
      </c>
      <c r="C19" s="17" t="inlineStr">
        <is>
          <t>10:00</t>
        </is>
      </c>
      <c r="D19" s="17" t="inlineStr">
        <is>
          <t>P004</t>
        </is>
      </c>
      <c r="E19" s="17" t="inlineStr">
        <is>
          <t>Eggs</t>
        </is>
      </c>
      <c r="F19" s="17" t="inlineStr">
        <is>
          <t>Protein</t>
        </is>
      </c>
      <c r="G19" s="17" t="inlineStr">
        <is>
          <t>Farm Fresh</t>
        </is>
      </c>
      <c r="H19" s="17" t="inlineStr">
        <is>
          <t>12pcs</t>
        </is>
      </c>
      <c r="I19" s="17" t="n">
        <v>80</v>
      </c>
      <c r="J19" s="17" t="n">
        <v>2</v>
      </c>
      <c r="K19" s="17">
        <f>I19*J19</f>
        <v/>
      </c>
      <c r="L19" s="17" t="inlineStr">
        <is>
          <t>Card</t>
        </is>
      </c>
    </row>
    <row r="20">
      <c r="A20" s="16" t="inlineStr">
        <is>
          <t>S006</t>
        </is>
      </c>
      <c r="B20" s="16" t="inlineStr">
        <is>
          <t>2025-05-08</t>
        </is>
      </c>
      <c r="C20" s="16" t="inlineStr">
        <is>
          <t>10:00</t>
        </is>
      </c>
      <c r="D20" s="16" t="inlineStr">
        <is>
          <t>P002</t>
        </is>
      </c>
      <c r="E20" s="16" t="inlineStr">
        <is>
          <t>Milk</t>
        </is>
      </c>
      <c r="F20" s="16" t="inlineStr">
        <is>
          <t>Dairy</t>
        </is>
      </c>
      <c r="G20" s="16" t="inlineStr">
        <is>
          <t>Amul</t>
        </is>
      </c>
      <c r="H20" s="16" t="inlineStr">
        <is>
          <t>1L</t>
        </is>
      </c>
      <c r="I20" s="16" t="n">
        <v>60</v>
      </c>
      <c r="J20" s="16" t="n">
        <v>2</v>
      </c>
      <c r="K20" s="16">
        <f>I20*J20</f>
        <v/>
      </c>
      <c r="L20" s="16" t="inlineStr">
        <is>
          <t>Card</t>
        </is>
      </c>
    </row>
    <row r="21">
      <c r="A21" s="17" t="inlineStr">
        <is>
          <t>S007</t>
        </is>
      </c>
      <c r="B21" s="17" t="inlineStr">
        <is>
          <t>2025-05-09</t>
        </is>
      </c>
      <c r="C21" s="17" t="inlineStr">
        <is>
          <t>12:30</t>
        </is>
      </c>
      <c r="D21" s="17" t="inlineStr">
        <is>
          <t>P001</t>
        </is>
      </c>
      <c r="E21" s="17" t="inlineStr">
        <is>
          <t>Rice</t>
        </is>
      </c>
      <c r="F21" s="17" t="inlineStr">
        <is>
          <t>Staples</t>
        </is>
      </c>
      <c r="G21" s="17" t="inlineStr">
        <is>
          <t>India Gate</t>
        </is>
      </c>
      <c r="H21" s="17" t="inlineStr">
        <is>
          <t>1kg</t>
        </is>
      </c>
      <c r="I21" s="17" t="n">
        <v>50</v>
      </c>
      <c r="J21" s="17" t="n">
        <v>4</v>
      </c>
      <c r="K21" s="17">
        <f>I21*J21</f>
        <v/>
      </c>
      <c r="L21" s="17" t="inlineStr">
        <is>
          <t>Cash</t>
        </is>
      </c>
    </row>
    <row r="22">
      <c r="A22" s="16" t="inlineStr">
        <is>
          <t>S007</t>
        </is>
      </c>
      <c r="B22" s="16" t="inlineStr">
        <is>
          <t>2025-05-09</t>
        </is>
      </c>
      <c r="C22" s="16" t="inlineStr">
        <is>
          <t>12:30</t>
        </is>
      </c>
      <c r="D22" s="16" t="inlineStr">
        <is>
          <t>P003</t>
        </is>
      </c>
      <c r="E22" s="16" t="inlineStr">
        <is>
          <t>Bread</t>
        </is>
      </c>
      <c r="F22" s="16" t="inlineStr">
        <is>
          <t>Bakery</t>
        </is>
      </c>
      <c r="G22" s="16" t="inlineStr">
        <is>
          <t>Britannia</t>
        </is>
      </c>
      <c r="H22" s="16" t="inlineStr">
        <is>
          <t>400g</t>
        </is>
      </c>
      <c r="I22" s="16" t="n">
        <v>40</v>
      </c>
      <c r="J22" s="16" t="n">
        <v>3</v>
      </c>
      <c r="K22" s="16">
        <f>I22*J22</f>
        <v/>
      </c>
      <c r="L22" s="16" t="inlineStr">
        <is>
          <t>Cash</t>
        </is>
      </c>
    </row>
    <row r="23">
      <c r="A23" s="17" t="inlineStr">
        <is>
          <t>S007</t>
        </is>
      </c>
      <c r="B23" s="17" t="inlineStr">
        <is>
          <t>2025-05-09</t>
        </is>
      </c>
      <c r="C23" s="17" t="inlineStr">
        <is>
          <t>12:30</t>
        </is>
      </c>
      <c r="D23" s="17" t="inlineStr">
        <is>
          <t>P005</t>
        </is>
      </c>
      <c r="E23" s="17" t="inlineStr">
        <is>
          <t>Oil</t>
        </is>
      </c>
      <c r="F23" s="17" t="inlineStr">
        <is>
          <t>Cooking</t>
        </is>
      </c>
      <c r="G23" s="17" t="inlineStr">
        <is>
          <t>Fortune</t>
        </is>
      </c>
      <c r="H23" s="17" t="inlineStr">
        <is>
          <t>1L</t>
        </is>
      </c>
      <c r="I23" s="17" t="n">
        <v>120</v>
      </c>
      <c r="J23" s="17" t="n">
        <v>2</v>
      </c>
      <c r="K23" s="17">
        <f>I23*J23</f>
        <v/>
      </c>
      <c r="L23" s="17" t="inlineStr">
        <is>
          <t>Cash</t>
        </is>
      </c>
    </row>
    <row r="24">
      <c r="A24" s="16" t="inlineStr">
        <is>
          <t>S007</t>
        </is>
      </c>
      <c r="B24" s="16" t="inlineStr">
        <is>
          <t>2025-05-09</t>
        </is>
      </c>
      <c r="C24" s="16" t="inlineStr">
        <is>
          <t>12:30</t>
        </is>
      </c>
      <c r="D24" s="16" t="inlineStr">
        <is>
          <t>P004</t>
        </is>
      </c>
      <c r="E24" s="16" t="inlineStr">
        <is>
          <t>Eggs</t>
        </is>
      </c>
      <c r="F24" s="16" t="inlineStr">
        <is>
          <t>Protein</t>
        </is>
      </c>
      <c r="G24" s="16" t="inlineStr">
        <is>
          <t>Farm Fresh</t>
        </is>
      </c>
      <c r="H24" s="16" t="inlineStr">
        <is>
          <t>12pcs</t>
        </is>
      </c>
      <c r="I24" s="16" t="n">
        <v>80</v>
      </c>
      <c r="J24" s="16" t="n">
        <v>2</v>
      </c>
      <c r="K24" s="16">
        <f>I24*J24</f>
        <v/>
      </c>
      <c r="L24" s="16" t="inlineStr">
        <is>
          <t>Cash</t>
        </is>
      </c>
    </row>
    <row r="25">
      <c r="A25" s="17" t="inlineStr">
        <is>
          <t>S008</t>
        </is>
      </c>
      <c r="B25" s="17" t="inlineStr">
        <is>
          <t>2025-05-10</t>
        </is>
      </c>
      <c r="C25" s="17" t="inlineStr">
        <is>
          <t>15:45</t>
        </is>
      </c>
      <c r="D25" s="17" t="inlineStr">
        <is>
          <t>P002</t>
        </is>
      </c>
      <c r="E25" s="17" t="inlineStr">
        <is>
          <t>Milk</t>
        </is>
      </c>
      <c r="F25" s="17" t="inlineStr">
        <is>
          <t>Dairy</t>
        </is>
      </c>
      <c r="G25" s="17" t="inlineStr">
        <is>
          <t>Amul</t>
        </is>
      </c>
      <c r="H25" s="17" t="inlineStr">
        <is>
          <t>1L</t>
        </is>
      </c>
      <c r="I25" s="17" t="n">
        <v>60</v>
      </c>
      <c r="J25" s="17" t="n">
        <v>3</v>
      </c>
      <c r="K25" s="17">
        <f>I25*J25</f>
        <v/>
      </c>
      <c r="L25" s="17" t="inlineStr">
        <is>
          <t>UPI</t>
        </is>
      </c>
    </row>
    <row r="26">
      <c r="A26" s="16" t="inlineStr">
        <is>
          <t>S008</t>
        </is>
      </c>
      <c r="B26" s="16" t="inlineStr">
        <is>
          <t>2025-05-10</t>
        </is>
      </c>
      <c r="C26" s="16" t="inlineStr">
        <is>
          <t>15:45</t>
        </is>
      </c>
      <c r="D26" s="16" t="inlineStr">
        <is>
          <t>P001</t>
        </is>
      </c>
      <c r="E26" s="16" t="inlineStr">
        <is>
          <t>Rice</t>
        </is>
      </c>
      <c r="F26" s="16" t="inlineStr">
        <is>
          <t>Staples</t>
        </is>
      </c>
      <c r="G26" s="16" t="inlineStr">
        <is>
          <t>India Gate</t>
        </is>
      </c>
      <c r="H26" s="16" t="inlineStr">
        <is>
          <t>1kg</t>
        </is>
      </c>
      <c r="I26" s="16" t="n">
        <v>50</v>
      </c>
      <c r="J26" s="16" t="n">
        <v>2</v>
      </c>
      <c r="K26" s="16">
        <f>I26*J26</f>
        <v/>
      </c>
      <c r="L26" s="16" t="inlineStr">
        <is>
          <t>UPI</t>
        </is>
      </c>
    </row>
    <row r="27">
      <c r="A27" s="17" t="inlineStr">
        <is>
          <t>S009</t>
        </is>
      </c>
      <c r="B27" s="17" t="inlineStr">
        <is>
          <t>2025-05-12</t>
        </is>
      </c>
      <c r="C27" s="17" t="inlineStr">
        <is>
          <t>09:00</t>
        </is>
      </c>
      <c r="D27" s="17" t="inlineStr">
        <is>
          <t>P005</t>
        </is>
      </c>
      <c r="E27" s="17" t="inlineStr">
        <is>
          <t>Oil</t>
        </is>
      </c>
      <c r="F27" s="17" t="inlineStr">
        <is>
          <t>Cooking</t>
        </is>
      </c>
      <c r="G27" s="17" t="inlineStr">
        <is>
          <t>Fortune</t>
        </is>
      </c>
      <c r="H27" s="17" t="inlineStr">
        <is>
          <t>1L</t>
        </is>
      </c>
      <c r="I27" s="17" t="n">
        <v>120</v>
      </c>
      <c r="J27" s="17" t="n">
        <v>2</v>
      </c>
      <c r="K27" s="17">
        <f>I27*J27</f>
        <v/>
      </c>
      <c r="L27" s="17" t="inlineStr">
        <is>
          <t>Card</t>
        </is>
      </c>
    </row>
    <row r="28">
      <c r="A28" s="16" t="inlineStr">
        <is>
          <t>S009</t>
        </is>
      </c>
      <c r="B28" s="16" t="inlineStr">
        <is>
          <t>2025-05-12</t>
        </is>
      </c>
      <c r="C28" s="16" t="inlineStr">
        <is>
          <t>09:00</t>
        </is>
      </c>
      <c r="D28" s="16" t="inlineStr">
        <is>
          <t>P003</t>
        </is>
      </c>
      <c r="E28" s="16" t="inlineStr">
        <is>
          <t>Bread</t>
        </is>
      </c>
      <c r="F28" s="16" t="inlineStr">
        <is>
          <t>Bakery</t>
        </is>
      </c>
      <c r="G28" s="16" t="inlineStr">
        <is>
          <t>Britannia</t>
        </is>
      </c>
      <c r="H28" s="16" t="inlineStr">
        <is>
          <t>400g</t>
        </is>
      </c>
      <c r="I28" s="16" t="n">
        <v>40</v>
      </c>
      <c r="J28" s="16" t="n">
        <v>2</v>
      </c>
      <c r="K28" s="16">
        <f>I28*J28</f>
        <v/>
      </c>
      <c r="L28" s="16" t="inlineStr">
        <is>
          <t>Card</t>
        </is>
      </c>
    </row>
    <row r="29">
      <c r="A29" s="17" t="inlineStr">
        <is>
          <t>S009</t>
        </is>
      </c>
      <c r="B29" s="17" t="inlineStr">
        <is>
          <t>2025-05-12</t>
        </is>
      </c>
      <c r="C29" s="17" t="inlineStr">
        <is>
          <t>09:00</t>
        </is>
      </c>
      <c r="D29" s="17" t="inlineStr">
        <is>
          <t>P004</t>
        </is>
      </c>
      <c r="E29" s="17" t="inlineStr">
        <is>
          <t>Eggs</t>
        </is>
      </c>
      <c r="F29" s="17" t="inlineStr">
        <is>
          <t>Protein</t>
        </is>
      </c>
      <c r="G29" s="17" t="inlineStr">
        <is>
          <t>Farm Fresh</t>
        </is>
      </c>
      <c r="H29" s="17" t="inlineStr">
        <is>
          <t>12pcs</t>
        </is>
      </c>
      <c r="I29" s="17" t="n">
        <v>80</v>
      </c>
      <c r="J29" s="17" t="n">
        <v>3</v>
      </c>
      <c r="K29" s="17">
        <f>I29*J29</f>
        <v/>
      </c>
      <c r="L29" s="17" t="inlineStr">
        <is>
          <t>Card</t>
        </is>
      </c>
    </row>
    <row r="30">
      <c r="A30" s="16" t="inlineStr">
        <is>
          <t>S009</t>
        </is>
      </c>
      <c r="B30" s="16" t="inlineStr">
        <is>
          <t>2025-05-12</t>
        </is>
      </c>
      <c r="C30" s="16" t="inlineStr">
        <is>
          <t>09:00</t>
        </is>
      </c>
      <c r="D30" s="16" t="inlineStr">
        <is>
          <t>P001</t>
        </is>
      </c>
      <c r="E30" s="16" t="inlineStr">
        <is>
          <t>Rice</t>
        </is>
      </c>
      <c r="F30" s="16" t="inlineStr">
        <is>
          <t>Staples</t>
        </is>
      </c>
      <c r="G30" s="16" t="inlineStr">
        <is>
          <t>India Gate</t>
        </is>
      </c>
      <c r="H30" s="16" t="inlineStr">
        <is>
          <t>1kg</t>
        </is>
      </c>
      <c r="I30" s="16" t="n">
        <v>50</v>
      </c>
      <c r="J30" s="16" t="n">
        <v>2</v>
      </c>
      <c r="K30" s="16">
        <f>I30*J30</f>
        <v/>
      </c>
      <c r="L30" s="16" t="inlineStr">
        <is>
          <t>Card</t>
        </is>
      </c>
    </row>
    <row r="31">
      <c r="A31" s="17" t="inlineStr">
        <is>
          <t>S010</t>
        </is>
      </c>
      <c r="B31" s="17" t="inlineStr">
        <is>
          <t>2025-05-14</t>
        </is>
      </c>
      <c r="C31" s="17" t="inlineStr">
        <is>
          <t>11:00</t>
        </is>
      </c>
      <c r="D31" s="17" t="inlineStr">
        <is>
          <t>P001</t>
        </is>
      </c>
      <c r="E31" s="17" t="inlineStr">
        <is>
          <t>Rice</t>
        </is>
      </c>
      <c r="F31" s="17" t="inlineStr">
        <is>
          <t>Staples</t>
        </is>
      </c>
      <c r="G31" s="17" t="inlineStr">
        <is>
          <t>India Gate</t>
        </is>
      </c>
      <c r="H31" s="17" t="inlineStr">
        <is>
          <t>1kg</t>
        </is>
      </c>
      <c r="I31" s="17" t="n">
        <v>50</v>
      </c>
      <c r="J31" s="17" t="n">
        <v>1</v>
      </c>
      <c r="K31" s="17">
        <f>I31*J31</f>
        <v/>
      </c>
      <c r="L31" s="17" t="inlineStr">
        <is>
          <t>UPI</t>
        </is>
      </c>
    </row>
    <row r="32">
      <c r="A32" s="16" t="inlineStr">
        <is>
          <t>S010</t>
        </is>
      </c>
      <c r="B32" s="16" t="inlineStr">
        <is>
          <t>2025-05-14</t>
        </is>
      </c>
      <c r="C32" s="16" t="inlineStr">
        <is>
          <t>11:00</t>
        </is>
      </c>
      <c r="D32" s="16" t="inlineStr">
        <is>
          <t>P002</t>
        </is>
      </c>
      <c r="E32" s="16" t="inlineStr">
        <is>
          <t>Milk</t>
        </is>
      </c>
      <c r="F32" s="16" t="inlineStr">
        <is>
          <t>Dairy</t>
        </is>
      </c>
      <c r="G32" s="16" t="inlineStr">
        <is>
          <t>Amul</t>
        </is>
      </c>
      <c r="H32" s="16" t="inlineStr">
        <is>
          <t>1L</t>
        </is>
      </c>
      <c r="I32" s="16" t="n">
        <v>60</v>
      </c>
      <c r="J32" s="16" t="n">
        <v>2</v>
      </c>
      <c r="K32" s="16">
        <f>I32*J32</f>
        <v/>
      </c>
      <c r="L32" s="16" t="inlineStr">
        <is>
          <t>UPI</t>
        </is>
      </c>
    </row>
    <row r="33">
      <c r="A33" s="17" t="inlineStr">
        <is>
          <t>S010</t>
        </is>
      </c>
      <c r="B33" s="17" t="inlineStr">
        <is>
          <t>2025-05-14</t>
        </is>
      </c>
      <c r="C33" s="17" t="inlineStr">
        <is>
          <t>11:00</t>
        </is>
      </c>
      <c r="D33" s="17" t="inlineStr">
        <is>
          <t>P003</t>
        </is>
      </c>
      <c r="E33" s="17" t="inlineStr">
        <is>
          <t>Bread</t>
        </is>
      </c>
      <c r="F33" s="17" t="inlineStr">
        <is>
          <t>Bakery</t>
        </is>
      </c>
      <c r="G33" s="17" t="inlineStr">
        <is>
          <t>Britannia</t>
        </is>
      </c>
      <c r="H33" s="17" t="inlineStr">
        <is>
          <t>400g</t>
        </is>
      </c>
      <c r="I33" s="17" t="n">
        <v>40</v>
      </c>
      <c r="J33" s="17" t="n">
        <v>2</v>
      </c>
      <c r="K33" s="17">
        <f>I33*J33</f>
        <v/>
      </c>
      <c r="L33" s="17" t="inlineStr">
        <is>
          <t>UPI</t>
        </is>
      </c>
    </row>
    <row r="34">
      <c r="A34" s="16" t="inlineStr">
        <is>
          <t>S010</t>
        </is>
      </c>
      <c r="B34" s="16" t="inlineStr">
        <is>
          <t>2025-05-14</t>
        </is>
      </c>
      <c r="C34" s="16" t="inlineStr">
        <is>
          <t>11:00</t>
        </is>
      </c>
      <c r="D34" s="16" t="inlineStr">
        <is>
          <t>P004</t>
        </is>
      </c>
      <c r="E34" s="16" t="inlineStr">
        <is>
          <t>Eggs</t>
        </is>
      </c>
      <c r="F34" s="16" t="inlineStr">
        <is>
          <t>Protein</t>
        </is>
      </c>
      <c r="G34" s="16" t="inlineStr">
        <is>
          <t>Farm Fresh</t>
        </is>
      </c>
      <c r="H34" s="16" t="inlineStr">
        <is>
          <t>12pcs</t>
        </is>
      </c>
      <c r="I34" s="16" t="n">
        <v>80</v>
      </c>
      <c r="J34" s="16" t="n">
        <v>2</v>
      </c>
      <c r="K34" s="16">
        <f>I34*J34</f>
        <v/>
      </c>
      <c r="L34" s="16" t="inlineStr">
        <is>
          <t>UPI</t>
        </is>
      </c>
    </row>
    <row r="35">
      <c r="A35" s="17" t="inlineStr">
        <is>
          <t>S010</t>
        </is>
      </c>
      <c r="B35" s="17" t="inlineStr">
        <is>
          <t>2025-05-14</t>
        </is>
      </c>
      <c r="C35" s="17" t="inlineStr">
        <is>
          <t>11:00</t>
        </is>
      </c>
      <c r="D35" s="17" t="inlineStr">
        <is>
          <t>P005</t>
        </is>
      </c>
      <c r="E35" s="17" t="inlineStr">
        <is>
          <t>Oil</t>
        </is>
      </c>
      <c r="F35" s="17" t="inlineStr">
        <is>
          <t>Cooking</t>
        </is>
      </c>
      <c r="G35" s="17" t="inlineStr">
        <is>
          <t>Fortune</t>
        </is>
      </c>
      <c r="H35" s="17" t="inlineStr">
        <is>
          <t>1L</t>
        </is>
      </c>
      <c r="I35" s="17" t="n">
        <v>120</v>
      </c>
      <c r="J35" s="17" t="n">
        <v>2</v>
      </c>
      <c r="K35" s="17">
        <f>I35*J35</f>
        <v/>
      </c>
      <c r="L35" s="17" t="inlineStr">
        <is>
          <t>UPI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:E1"/>
    </sheetView>
  </sheetViews>
  <sheetFormatPr baseColWidth="8" defaultRowHeight="14.4"/>
  <cols>
    <col width="22" customWidth="1" style="9" min="1" max="5"/>
  </cols>
  <sheetData>
    <row r="1" ht="17.4" customHeight="1" s="9">
      <c r="A1" s="8" t="inlineStr">
        <is>
          <t>SEAMLESS SHOPPING — TRANSACTION SUMMARY</t>
        </is>
      </c>
    </row>
    <row r="3">
      <c r="A3" s="10" t="inlineStr">
        <is>
          <t>Product-wise Analysis</t>
        </is>
      </c>
    </row>
    <row r="4">
      <c r="A4" s="4" t="inlineStr">
        <is>
          <t>Product</t>
        </is>
      </c>
      <c r="B4" s="4" t="inlineStr">
        <is>
          <t>Category</t>
        </is>
      </c>
      <c r="C4" s="4" t="inlineStr">
        <is>
          <t>Total Qty Sold</t>
        </is>
      </c>
      <c r="D4" s="4" t="inlineStr">
        <is>
          <t>Total Revenue (₹)</t>
        </is>
      </c>
      <c r="E4" s="4" t="inlineStr">
        <is>
          <t>Avg Price (₹)</t>
        </is>
      </c>
    </row>
    <row r="5">
      <c r="A5" s="3" t="inlineStr">
        <is>
          <t>Rice</t>
        </is>
      </c>
      <c r="B5" s="3" t="inlineStr">
        <is>
          <t>Staples</t>
        </is>
      </c>
      <c r="C5" s="3">
        <f>SUMIF(Transactions!E:E,A5,Transactions!J:J)</f>
        <v/>
      </c>
      <c r="D5" s="3">
        <f>SUMIF(Transactions!E:E,A5,Transactions!K:K)</f>
        <v/>
      </c>
      <c r="E5" s="3">
        <f>D5/C5</f>
        <v/>
      </c>
    </row>
    <row r="6">
      <c r="A6" s="3" t="inlineStr">
        <is>
          <t>Milk</t>
        </is>
      </c>
      <c r="B6" s="3" t="inlineStr">
        <is>
          <t>Dairy</t>
        </is>
      </c>
      <c r="C6" s="3">
        <f>SUMIF(Transactions!E:E,A6,Transactions!J:J)</f>
        <v/>
      </c>
      <c r="D6" s="3">
        <f>SUMIF(Transactions!E:E,A6,Transactions!K:K)</f>
        <v/>
      </c>
      <c r="E6" s="3">
        <f>D6/C6</f>
        <v/>
      </c>
    </row>
    <row r="7">
      <c r="A7" s="3" t="inlineStr">
        <is>
          <t>Bread</t>
        </is>
      </c>
      <c r="B7" s="3" t="inlineStr">
        <is>
          <t>Bakery</t>
        </is>
      </c>
      <c r="C7" s="3">
        <f>SUMIF(Transactions!E:E,A7,Transactions!J:J)</f>
        <v/>
      </c>
      <c r="D7" s="3">
        <f>SUMIF(Transactions!E:E,A7,Transactions!K:K)</f>
        <v/>
      </c>
      <c r="E7" s="3">
        <f>D7/C7</f>
        <v/>
      </c>
    </row>
    <row r="8">
      <c r="A8" s="3" t="inlineStr">
        <is>
          <t>Eggs</t>
        </is>
      </c>
      <c r="B8" s="3" t="inlineStr">
        <is>
          <t>Protein</t>
        </is>
      </c>
      <c r="C8" s="3">
        <f>SUMIF(Transactions!E:E,A8,Transactions!J:J)</f>
        <v/>
      </c>
      <c r="D8" s="3">
        <f>SUMIF(Transactions!E:E,A8,Transactions!K:K)</f>
        <v/>
      </c>
      <c r="E8" s="3">
        <f>D8/C8</f>
        <v/>
      </c>
    </row>
    <row r="9">
      <c r="A9" s="3" t="inlineStr">
        <is>
          <t>Oil</t>
        </is>
      </c>
      <c r="B9" s="3" t="inlineStr">
        <is>
          <t>Cooking</t>
        </is>
      </c>
      <c r="C9" s="3">
        <f>SUMIF(Transactions!E:E,A9,Transactions!J:J)</f>
        <v/>
      </c>
      <c r="D9" s="3">
        <f>SUMIF(Transactions!E:E,A9,Transactions!K:K)</f>
        <v/>
      </c>
      <c r="E9" s="3">
        <f>D9/C9</f>
        <v/>
      </c>
    </row>
    <row r="10">
      <c r="A10" s="5" t="inlineStr">
        <is>
          <t>TOTAL</t>
        </is>
      </c>
      <c r="B10" s="5" t="n"/>
      <c r="C10" s="5">
        <f>SUM(C5:C9)</f>
        <v/>
      </c>
      <c r="D10" s="5">
        <f>SUM(D5:D9)</f>
        <v/>
      </c>
      <c r="E10" s="5">
        <f>D10/C10</f>
        <v/>
      </c>
    </row>
    <row r="12">
      <c r="A12" s="10" t="inlineStr">
        <is>
          <t>Payment Method Analysis</t>
        </is>
      </c>
    </row>
    <row r="13">
      <c r="A13" s="4" t="inlineStr">
        <is>
          <t>Payment Method</t>
        </is>
      </c>
      <c r="B13" s="4" t="inlineStr">
        <is>
          <t>No. of Sessions</t>
        </is>
      </c>
      <c r="C13" s="4" t="inlineStr">
        <is>
          <t>Total Revenue (₹)</t>
        </is>
      </c>
    </row>
    <row r="14">
      <c r="A14" s="3" t="inlineStr">
        <is>
          <t>UPI</t>
        </is>
      </c>
      <c r="B14" s="3">
        <f>COUNTIF(Transactions!L:L,A14)</f>
        <v/>
      </c>
      <c r="C14" s="3">
        <f>SUMIF(Transactions!L:L,A14,Transactions!K:K)</f>
        <v/>
      </c>
    </row>
    <row r="15">
      <c r="A15" s="3" t="inlineStr">
        <is>
          <t>Card</t>
        </is>
      </c>
      <c r="B15" s="3">
        <f>COUNTIF(Transactions!L:L,A15)</f>
        <v/>
      </c>
      <c r="C15" s="3">
        <f>SUMIF(Transactions!L:L,A15,Transactions!K:K)</f>
        <v/>
      </c>
    </row>
    <row r="16">
      <c r="A16" s="3" t="inlineStr">
        <is>
          <t>Cash</t>
        </is>
      </c>
      <c r="B16" s="3">
        <f>COUNTIF(Transactions!L:L,A16)</f>
        <v/>
      </c>
      <c r="C16" s="3">
        <f>SUMIF(Transactions!L:L,A16,Transactions!K:K)</f>
        <v/>
      </c>
    </row>
    <row r="18">
      <c r="A18" s="10" t="inlineStr">
        <is>
          <t>Key Metrics</t>
        </is>
      </c>
    </row>
    <row r="19">
      <c r="A19" s="6" t="inlineStr">
        <is>
          <t>Total Sessions</t>
        </is>
      </c>
      <c r="B19" s="7">
        <f>COUNTA(UNIQUE(Transactions!A2:A102))-1</f>
        <v/>
      </c>
    </row>
    <row r="20">
      <c r="A20" s="6" t="inlineStr">
        <is>
          <t>Total Transactions</t>
        </is>
      </c>
      <c r="B20" s="7">
        <f>COUNTA(Transactions!A2:A102)-1</f>
        <v/>
      </c>
    </row>
    <row r="21">
      <c r="A21" s="6" t="inlineStr">
        <is>
          <t>Total Revenue (₹)</t>
        </is>
      </c>
      <c r="B21" s="7">
        <f>SUM(Transactions!K:K)</f>
        <v/>
      </c>
    </row>
    <row r="22">
      <c r="A22" s="6" t="inlineStr">
        <is>
          <t>Average Cart Value (₹)</t>
        </is>
      </c>
      <c r="B22" s="7">
        <f>SUM(Transactions!K:K)/10</f>
        <v/>
      </c>
    </row>
    <row r="23">
      <c r="A23" s="6" t="inlineStr">
        <is>
          <t>Most Popular Product</t>
        </is>
      </c>
      <c r="B23" s="7" t="inlineStr">
        <is>
          <t>Rice</t>
        </is>
      </c>
    </row>
    <row r="24">
      <c r="A24" s="6" t="inlineStr">
        <is>
          <t>Top Payment Method</t>
        </is>
      </c>
      <c r="B24" s="7" t="inlineStr">
        <is>
          <t>UPI</t>
        </is>
      </c>
    </row>
  </sheetData>
  <mergeCells count="4">
    <mergeCell ref="A1:E1"/>
    <mergeCell ref="A18:E18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2026-05-30T07:19:49Z</dcterms:created>
  <dcterms:modified xmlns:dcterms="http://purl.org/dc/terms/" xmlns:xsi="http://www.w3.org/2001/XMLSchema-instance" xsi:type="dcterms:W3CDTF">2026-05-30T09:54:04Z</dcterms:modified>
  <cp:lastModifiedBy>Lenovo</cp:lastModifiedBy>
</cp:coreProperties>
</file>